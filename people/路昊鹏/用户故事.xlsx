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Sheet1" sheetId="1" r:id="rId1"/>
  </sheets>
  <externalReferences>
    <externalReference r:id="rId2"/>
  </externalReferences>
  <definedNames>
    <definedName name="PBStatus">[1]SETUP!$J$2:$J$4</definedName>
    <definedName name="PBType">[1]SETUP!$J$15:$J$20</definedName>
  </definedNames>
  <calcPr calcId="144525"/>
</workbook>
</file>

<file path=xl/comments1.xml><?xml version="1.0" encoding="utf-8"?>
<comments xmlns="http://schemas.openxmlformats.org/spreadsheetml/2006/main">
  <authors>
    <author>Luc Segers</author>
  </authors>
  <commentList>
    <comment ref="A4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This is the highest reference ID number used so far.  
</t>
        </r>
      </text>
    </comment>
    <comment ref="A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This reference ID should be unique.   This number is used throughout the whole worksheet so be aware.</t>
        </r>
      </text>
    </comment>
    <comment ref="B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This is the release where the story will be developped</t>
        </r>
      </text>
    </comment>
    <comment ref="C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This is the sprint where the story will be developped</t>
        </r>
      </text>
    </comment>
    <comment ref="D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This is a category to which the story belongs.
Example : Infrastrucuture, Back-End, Animation, ...</t>
        </r>
      </text>
    </comment>
    <comment ref="F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This is the story (Feature, Epic, User).
Depending on in which phase you are in (Présales, Scope, …) the detail could be higher.
Normally you could describe a user story as follow:
As a &lt;Role&gt;
     I can do &lt;this&gt; and
     the result is &lt;that&gt; ...
Offcourse this is not always possible, so you should be creative.
A story should conduct to the following rules:
I = Independent
N = Negotiable
V = Valuable to customer
E = Estimatable
S = Small
T = Testable</t>
        </r>
      </text>
    </comment>
    <comment ref="G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Type of the story.</t>
        </r>
      </text>
    </comment>
    <comment ref="H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Status of the story</t>
        </r>
      </text>
    </comment>
    <comment ref="I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This column is calculated:
Ideal Hours * Adjustment Factor
</t>
        </r>
      </text>
    </comment>
    <comment ref="J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M = Must Have
S = Should Have
C = Could Have
W = Won't have this time</t>
        </r>
      </text>
    </comment>
    <comment ref="L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0 = Lowest Business Value
100 = Highest Business Value</t>
        </r>
      </text>
    </comment>
    <comment ref="M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Enter here the new ideal estimates which are done with planningpoker
</t>
        </r>
      </text>
    </comment>
    <comment ref="N5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This column is calculated based on the values of complexity and information.  The data is looked up in the setup tab.</t>
        </r>
      </text>
    </comment>
    <comment ref="O5" authorId="0">
      <text>
        <r>
          <rPr>
            <b/>
            <sz val="9"/>
            <rFont val="Tahoma"/>
            <charset val="0"/>
          </rPr>
          <t>Luc Segers: Complexity</t>
        </r>
        <r>
          <rPr>
            <sz val="9"/>
            <rFont val="Tahoma"/>
            <charset val="0"/>
          </rPr>
          <t xml:space="preserve">
0 = Not Defined
1 = Very Simple
2 = Simple
3 = Moderate
4 = Complex
5 = Extreme Complex</t>
        </r>
      </text>
    </comment>
    <comment ref="P5" authorId="0">
      <text>
        <r>
          <rPr>
            <b/>
            <sz val="9"/>
            <rFont val="Tahoma"/>
            <charset val="0"/>
          </rPr>
          <t>Luc Segers: Information</t>
        </r>
        <r>
          <rPr>
            <sz val="9"/>
            <rFont val="Tahoma"/>
            <charset val="0"/>
          </rPr>
          <t xml:space="preserve">
0 = Not Defined
1 = No information
2 = Little information
3 = Moderate information
4 = Much information
5 = All information</t>
        </r>
      </text>
    </comment>
    <comment ref="C26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Total amount of stories available in the project backlog</t>
        </r>
      </text>
    </comment>
    <comment ref="I26" authorId="0">
      <text>
        <r>
          <rPr>
            <b/>
            <sz val="9"/>
            <rFont val="Tahoma"/>
            <charset val="0"/>
          </rPr>
          <t>Luc Segers:</t>
        </r>
        <r>
          <rPr>
            <sz val="9"/>
            <rFont val="Tahoma"/>
            <charset val="0"/>
          </rPr>
          <t xml:space="preserve">
total amount of estimated hours</t>
        </r>
      </text>
    </comment>
  </commentList>
</comments>
</file>

<file path=xl/sharedStrings.xml><?xml version="1.0" encoding="utf-8"?>
<sst xmlns="http://schemas.openxmlformats.org/spreadsheetml/2006/main" count="63">
  <si>
    <t>PROJECT BACKLOG</t>
  </si>
  <si>
    <t>= highest Reference ID number</t>
  </si>
  <si>
    <t>引用编号</t>
  </si>
  <si>
    <t>版本</t>
  </si>
  <si>
    <t>冲刺号</t>
  </si>
  <si>
    <t>分类</t>
  </si>
  <si>
    <t>标题</t>
  </si>
  <si>
    <t>故事</t>
  </si>
  <si>
    <t>类型</t>
  </si>
  <si>
    <t>进度</t>
  </si>
  <si>
    <t>初始估计（h）</t>
  </si>
  <si>
    <t>优先级</t>
  </si>
  <si>
    <t>如何演示</t>
  </si>
  <si>
    <t>商业价值</t>
  </si>
  <si>
    <t>理想时间（h）</t>
  </si>
  <si>
    <t>调整因子</t>
  </si>
  <si>
    <t>复杂度</t>
  </si>
  <si>
    <t>信息度</t>
  </si>
  <si>
    <t>备注</t>
  </si>
  <si>
    <t>user story</t>
  </si>
  <si>
    <t>查票</t>
  </si>
  <si>
    <t>作为一个用户，我希望可以查到我要的车次、时间，以方便与我规划行程</t>
  </si>
  <si>
    <t>Initial Feature</t>
  </si>
  <si>
    <t>Not Done</t>
  </si>
  <si>
    <t>连坐票</t>
  </si>
  <si>
    <t>作为一个用户，我希望可以与家人出行的时候买到连坐票，以便于我可以和家人坐在一起。</t>
  </si>
  <si>
    <t>订票</t>
  </si>
  <si>
    <t>作为一个用户，我希望可以买到我要的车票，并提示我购票成功。</t>
  </si>
  <si>
    <t>换票</t>
  </si>
  <si>
    <t>作为一个用户，我希望我可以更换我买到的车票，以便于我计划改变的时候不耽误行程。</t>
  </si>
  <si>
    <t>退票</t>
  </si>
  <si>
    <t>作为一个用户，我希望可以，定错票，或者不坐车的时候，可以退了我的火车票，以便于挽回我买票的价钱。</t>
  </si>
  <si>
    <t>绑定银行卡</t>
  </si>
  <si>
    <t>作为一个用户，我希望可以用银行卡支付，以便于我快速支付</t>
  </si>
  <si>
    <t>绑定身份证</t>
  </si>
  <si>
    <t>作为一个用户，我希望可以绑定我的身份证，这样我以后订票就不用重新输入身份证了</t>
  </si>
  <si>
    <t>手机提醒</t>
  </si>
  <si>
    <t>作为一个用户，我希望可以订票成功后，手机提醒我订票成功，以便于我可以确认我定到票了。</t>
  </si>
  <si>
    <t>绑定微信</t>
  </si>
  <si>
    <t>作为一个用户，我希望可以用微信登录和支付，以便于我方便登录。</t>
  </si>
  <si>
    <t>app</t>
  </si>
  <si>
    <t>作为一个用户，我希望可以有一个APP，以便于我很快登录。</t>
  </si>
  <si>
    <t>帮忙订票</t>
  </si>
  <si>
    <t>作为一个用户，我希望可以帮我朋友家人订票，以便于他们买票。</t>
  </si>
  <si>
    <t>支付宝支付</t>
  </si>
  <si>
    <t>作为一个用户，我希望可以将用支付宝支付，以便于我可以很快支付。</t>
  </si>
  <si>
    <t>优先票提醒</t>
  </si>
  <si>
    <t>作为一个用户，我希望能提醒我有更快的车票，以便于我更效率的做事。</t>
  </si>
  <si>
    <t>抢票</t>
  </si>
  <si>
    <t>作为一个用户，我希望可以抢票，从而可以优先买到我要的票</t>
  </si>
  <si>
    <t>出行保险</t>
  </si>
  <si>
    <t>作为用户，我希望可以买出行保险，保障我的出行。</t>
  </si>
  <si>
    <t>定位</t>
  </si>
  <si>
    <t>作为一个用，我希望可以定位到我的城市，以便于我更快选票。</t>
  </si>
  <si>
    <t>车站地图</t>
  </si>
  <si>
    <t>作为一个用户，我希望能够查看火车站的地图，以便于将我可以快速找到火车站。</t>
  </si>
  <si>
    <t>电子车票</t>
  </si>
  <si>
    <t>作为一个用户，我希望能够有电子车票，这样就不用我去取票了。</t>
  </si>
  <si>
    <t>修改信息</t>
  </si>
  <si>
    <t>作为一个运营商，我希望可以自动修改关于车票的相关信息，以方便用户的使用。</t>
  </si>
  <si>
    <t>分享功能</t>
  </si>
  <si>
    <t>作为运营商，我希望可以分享我们平台的应用，以便于更多用户网上订票，提高效率。</t>
  </si>
  <si>
    <t>Total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</si>
</sst>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;\-0.00;;@\ "/>
    <numFmt numFmtId="177" formatCode="0;\-0;;@\ "/>
  </numFmts>
  <fonts count="31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sz val="10"/>
      <color theme="1"/>
      <name val="宋体"/>
      <charset val="134"/>
      <scheme val="minor"/>
    </font>
    <font>
      <sz val="10"/>
      <color indexed="63"/>
      <name val="宋体"/>
      <charset val="134"/>
    </font>
    <font>
      <b/>
      <sz val="26"/>
      <color indexed="63"/>
      <name val="宋体"/>
      <charset val="134"/>
    </font>
    <font>
      <sz val="8"/>
      <name val="Calibri"/>
      <family val="2"/>
      <charset val="0"/>
    </font>
    <font>
      <sz val="8"/>
      <name val="宋体"/>
      <charset val="134"/>
    </font>
    <font>
      <b/>
      <sz val="10"/>
      <color indexed="8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i/>
      <sz val="9"/>
      <name val="Arial"/>
      <family val="2"/>
      <charset val="0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indexed="2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auto="1"/>
      </right>
      <top style="double">
        <color theme="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uble">
        <color theme="4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double">
        <color theme="4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4" fillId="5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7" borderId="25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6" borderId="22" applyNumberFormat="0" applyAlignment="0" applyProtection="0">
      <alignment vertical="center"/>
    </xf>
    <xf numFmtId="0" fontId="25" fillId="6" borderId="21" applyNumberFormat="0" applyAlignment="0" applyProtection="0">
      <alignment vertical="center"/>
    </xf>
    <xf numFmtId="0" fontId="30" fillId="23" borderId="26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" fillId="0" borderId="0"/>
    <xf numFmtId="0" fontId="20" fillId="3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44"/>
    <xf numFmtId="0" fontId="1" fillId="0" borderId="0" xfId="0" applyFont="1" applyFill="1" applyBorder="1" applyAlignment="1">
      <alignment wrapText="1"/>
    </xf>
    <xf numFmtId="0" fontId="3" fillId="0" borderId="0" xfId="44" applyFont="1" applyAlignment="1">
      <alignment horizontal="left"/>
    </xf>
    <xf numFmtId="0" fontId="4" fillId="0" borderId="0" xfId="44" applyFont="1" applyBorder="1" applyAlignment="1">
      <alignment vertic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7" fillId="2" borderId="1" xfId="0" applyFont="1" applyFill="1" applyBorder="1" applyAlignment="1">
      <alignment horizontal="center" textRotation="90" wrapText="1"/>
    </xf>
    <xf numFmtId="0" fontId="7" fillId="2" borderId="2" xfId="0" applyFont="1" applyFill="1" applyBorder="1" applyAlignment="1">
      <alignment textRotation="90" wrapText="1"/>
    </xf>
    <xf numFmtId="0" fontId="7" fillId="2" borderId="2" xfId="0" applyFont="1" applyFill="1" applyBorder="1" applyAlignment="1">
      <alignment horizontal="center" textRotation="90" wrapText="1"/>
    </xf>
    <xf numFmtId="0" fontId="7" fillId="2" borderId="2" xfId="0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7" fillId="2" borderId="2" xfId="0" applyFont="1" applyFill="1" applyBorder="1" applyAlignment="1"/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/>
    <xf numFmtId="0" fontId="9" fillId="0" borderId="4" xfId="0" applyFont="1" applyFill="1" applyBorder="1" applyAlignment="1">
      <alignment wrapText="1"/>
    </xf>
    <xf numFmtId="0" fontId="9" fillId="3" borderId="4" xfId="0" applyFont="1" applyFill="1" applyBorder="1" applyAlignment="1"/>
    <xf numFmtId="0" fontId="9" fillId="3" borderId="4" xfId="0" applyFont="1" applyFill="1" applyBorder="1" applyAlignment="1">
      <alignment wrapText="1"/>
    </xf>
    <xf numFmtId="0" fontId="10" fillId="0" borderId="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6" xfId="0" applyFont="1" applyFill="1" applyBorder="1" applyAlignment="1"/>
    <xf numFmtId="0" fontId="10" fillId="0" borderId="6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8" fillId="2" borderId="2" xfId="0" applyFont="1" applyFill="1" applyBorder="1" applyAlignment="1">
      <alignment horizontal="center" textRotation="90"/>
    </xf>
    <xf numFmtId="0" fontId="8" fillId="2" borderId="7" xfId="0" applyFont="1" applyFill="1" applyBorder="1" applyAlignment="1">
      <alignment horizontal="center" textRotation="90" wrapText="1"/>
    </xf>
    <xf numFmtId="0" fontId="8" fillId="2" borderId="8" xfId="0" applyFont="1" applyFill="1" applyBorder="1" applyAlignment="1">
      <alignment horizontal="center" textRotation="90" wrapText="1"/>
    </xf>
    <xf numFmtId="0" fontId="7" fillId="2" borderId="9" xfId="0" applyFont="1" applyFill="1" applyBorder="1" applyAlignment="1">
      <alignment horizontal="center" textRotation="90" wrapText="1"/>
    </xf>
    <xf numFmtId="0" fontId="7" fillId="2" borderId="10" xfId="0" applyFont="1" applyFill="1" applyBorder="1" applyAlignment="1">
      <alignment horizontal="center" textRotation="90" wrapText="1"/>
    </xf>
    <xf numFmtId="177" fontId="9" fillId="4" borderId="4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176" fontId="9" fillId="4" borderId="14" xfId="0" applyNumberFormat="1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1" fontId="10" fillId="0" borderId="15" xfId="0" applyNumberFormat="1" applyFont="1" applyFill="1" applyBorder="1" applyAlignment="1">
      <alignment horizontal="center"/>
    </xf>
    <xf numFmtId="0" fontId="11" fillId="0" borderId="0" xfId="0" applyFont="1" applyFill="1" applyBorder="1" applyAlignment="1"/>
    <xf numFmtId="0" fontId="7" fillId="2" borderId="16" xfId="0" applyFont="1" applyFill="1" applyBorder="1" applyAlignment="1"/>
    <xf numFmtId="0" fontId="9" fillId="3" borderId="17" xfId="0" applyFont="1" applyFill="1" applyBorder="1" applyAlignment="1"/>
    <xf numFmtId="0" fontId="9" fillId="0" borderId="17" xfId="0" applyFont="1" applyFill="1" applyBorder="1" applyAlignment="1"/>
    <xf numFmtId="0" fontId="2" fillId="0" borderId="17" xfId="0" applyFont="1" applyFill="1" applyBorder="1" applyAlignment="1"/>
    <xf numFmtId="0" fontId="10" fillId="0" borderId="18" xfId="0" applyFont="1" applyFill="1" applyBorder="1" applyAlignment="1"/>
    <xf numFmtId="0" fontId="6" fillId="0" borderId="0" xfId="0" applyFont="1" applyFill="1" applyBorder="1" applyAlignment="1" quotePrefix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Normal 3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1">
    <dxf>
      <font>
        <strike val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0</xdr:row>
          <xdr:rowOff>76200</xdr:rowOff>
        </xdr:from>
        <xdr:to>
          <xdr:col>3</xdr:col>
          <xdr:colOff>742315</xdr:colOff>
          <xdr:row>1</xdr:row>
          <xdr:rowOff>138430</xdr:rowOff>
        </xdr:to>
        <xdr:sp macro="[1]!OpenForm">
          <xdr:nvSpPr>
            <xdr:cNvPr id="1059" name="Button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422910" y="76200"/>
              <a:ext cx="1759585" cy="22987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Generate index cards</a:t>
              </a:r>
              <a:endParaRPr lang="zh-CN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ocuments\Tencent%20Files\420809214\FileRecv\&#25442;&#20070;&#32593;%20Product%20Backlog%20-%20Date_2012.08.1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OJECT VISION"/>
      <sheetName val="PROJECT FLOW"/>
      <sheetName val="PROJECT DASHBOARD"/>
      <sheetName val="User Model"/>
      <sheetName val="PROJECT BACKLOG"/>
      <sheetName val="SPRINT 1"/>
      <sheetName val="SPRINT 2"/>
      <sheetName val="RISK LOG"/>
      <sheetName val="IMPEDIMENTS LOG"/>
      <sheetName val="SPRINT RETROSPECTIVE"/>
      <sheetName val="VELOCITY"/>
      <sheetName val="CALENDAR"/>
      <sheetName val="ACCEPTANCE"/>
      <sheetName val="BUDGET"/>
      <sheetName val="SETUP"/>
      <sheetName val="SPRINT TEMPLATE"/>
      <sheetName val="PRINT CARDS"/>
      <sheetName val="CARD TEMPLATE"/>
      <sheetName val="SYS CALC"/>
      <sheetName val="Sheet1"/>
      <sheetName val="Sheet2"/>
    </sheetNames>
    <definedNames>
      <definedName name="OpenForm"/>
    </definedNames>
    <sheetDataSet>
      <sheetData sheetId="0"/>
      <sheetData sheetId="1"/>
      <sheetData sheetId="2"/>
      <sheetData sheetId="3"/>
      <sheetData sheetId="4">
        <row r="6">
          <cell r="A6">
            <v>1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5</v>
          </cell>
        </row>
        <row r="11">
          <cell r="A11">
            <v>6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  <row r="16">
          <cell r="A16">
            <v>11</v>
          </cell>
        </row>
        <row r="17">
          <cell r="A17">
            <v>12</v>
          </cell>
        </row>
        <row r="18">
          <cell r="A18">
            <v>13</v>
          </cell>
        </row>
        <row r="20">
          <cell r="A20">
            <v>1</v>
          </cell>
        </row>
        <row r="21">
          <cell r="A21">
            <v>2</v>
          </cell>
        </row>
        <row r="22">
          <cell r="A22">
            <v>3</v>
          </cell>
        </row>
        <row r="23">
          <cell r="A23">
            <v>4</v>
          </cell>
        </row>
        <row r="24">
          <cell r="A24">
            <v>5</v>
          </cell>
        </row>
        <row r="25">
          <cell r="A25">
            <v>6</v>
          </cell>
        </row>
        <row r="26">
          <cell r="A26">
            <v>7</v>
          </cell>
        </row>
        <row r="27">
          <cell r="A27">
            <v>8</v>
          </cell>
        </row>
        <row r="28">
          <cell r="A28">
            <v>9</v>
          </cell>
        </row>
        <row r="29">
          <cell r="A29">
            <v>10</v>
          </cell>
        </row>
        <row r="30">
          <cell r="A30">
            <v>11</v>
          </cell>
        </row>
        <row r="31">
          <cell r="A31">
            <v>12</v>
          </cell>
        </row>
        <row r="33">
          <cell r="A33">
            <v>1</v>
          </cell>
        </row>
        <row r="34">
          <cell r="A34">
            <v>2</v>
          </cell>
        </row>
        <row r="35">
          <cell r="A35">
            <v>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2">
          <cell r="C32">
            <v>1.3</v>
          </cell>
        </row>
        <row r="35">
          <cell r="B35">
            <v>0</v>
          </cell>
          <cell r="C35">
            <v>0</v>
          </cell>
        </row>
        <row r="36">
          <cell r="B36">
            <v>1</v>
          </cell>
          <cell r="C36">
            <v>0.1</v>
          </cell>
        </row>
        <row r="37">
          <cell r="B37">
            <v>2</v>
          </cell>
          <cell r="C37">
            <v>0.2</v>
          </cell>
        </row>
        <row r="38">
          <cell r="B38">
            <v>3</v>
          </cell>
          <cell r="C38">
            <v>0.4</v>
          </cell>
        </row>
        <row r="39">
          <cell r="B39">
            <v>4</v>
          </cell>
          <cell r="C39">
            <v>0.6</v>
          </cell>
        </row>
        <row r="40">
          <cell r="B40">
            <v>5</v>
          </cell>
          <cell r="C40">
            <v>0.8</v>
          </cell>
        </row>
        <row r="43">
          <cell r="B43">
            <v>0</v>
          </cell>
          <cell r="C43">
            <v>0</v>
          </cell>
        </row>
        <row r="44">
          <cell r="B44">
            <v>1</v>
          </cell>
          <cell r="C44">
            <v>0.8</v>
          </cell>
        </row>
        <row r="45">
          <cell r="B45">
            <v>2</v>
          </cell>
          <cell r="C45">
            <v>0.6</v>
          </cell>
        </row>
        <row r="46">
          <cell r="B46">
            <v>3</v>
          </cell>
          <cell r="C46">
            <v>0.4</v>
          </cell>
        </row>
        <row r="47">
          <cell r="B47">
            <v>4</v>
          </cell>
          <cell r="C47">
            <v>0.2</v>
          </cell>
        </row>
        <row r="48">
          <cell r="B48">
            <v>5</v>
          </cell>
          <cell r="C48">
            <v>0.1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1"/>
  <sheetViews>
    <sheetView tabSelected="1" topLeftCell="A4" workbookViewId="0">
      <selection activeCell="F24" sqref="F24"/>
    </sheetView>
  </sheetViews>
  <sheetFormatPr defaultColWidth="8.83333333333333" defaultRowHeight="13.2"/>
  <cols>
    <col min="1" max="2" width="5.5" style="1" customWidth="1"/>
    <col min="3" max="3" width="10" style="1" customWidth="1"/>
    <col min="4" max="4" width="12.3333333333333" style="1" customWidth="1"/>
    <col min="5" max="5" width="17.5" style="1" customWidth="1"/>
    <col min="6" max="6" width="63.5" style="3" customWidth="1"/>
    <col min="7" max="7" width="6.5" style="1" customWidth="1"/>
    <col min="8" max="8" width="5.5" style="1" customWidth="1"/>
    <col min="9" max="9" width="7" style="1" customWidth="1"/>
    <col min="10" max="12" width="5.5" style="1" customWidth="1"/>
    <col min="13" max="13" width="6.5" style="1" customWidth="1"/>
    <col min="14" max="14" width="6.66666666666667" style="1" customWidth="1"/>
    <col min="15" max="15" width="5.16666666666667" style="1" customWidth="1"/>
    <col min="16" max="16" width="4.5" style="1" customWidth="1"/>
    <col min="17" max="17" width="88.3333333333333" style="1" customWidth="1"/>
    <col min="18" max="16384" width="8.83333333333333" style="1"/>
  </cols>
  <sheetData>
    <row r="1" s="1" customFormat="1" spans="6:6">
      <c r="F1" s="3"/>
    </row>
    <row r="2" s="2" customFormat="1" ht="51.75" customHeight="1" spans="1:12">
      <c r="A2" s="4"/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="1" customFormat="1" spans="6:6">
      <c r="F3" s="3"/>
    </row>
    <row r="4" s="1" customFormat="1" ht="13.95" spans="1:6">
      <c r="A4" s="6">
        <f>MAX('[1]PROJECT BACKLOG'!$A$6:$A$35)</f>
        <v>13</v>
      </c>
      <c r="B4" s="46" t="s">
        <v>1</v>
      </c>
      <c r="C4" s="7"/>
      <c r="D4" s="7"/>
      <c r="E4" s="7"/>
      <c r="F4" s="3"/>
    </row>
    <row r="5" s="1" customFormat="1" ht="90.75" customHeight="1" spans="1:17">
      <c r="A5" s="8" t="s">
        <v>2</v>
      </c>
      <c r="B5" s="9" t="s">
        <v>3</v>
      </c>
      <c r="C5" s="10" t="s">
        <v>4</v>
      </c>
      <c r="D5" s="11" t="s">
        <v>5</v>
      </c>
      <c r="E5" s="12" t="s">
        <v>6</v>
      </c>
      <c r="F5" s="12" t="s">
        <v>7</v>
      </c>
      <c r="G5" s="13" t="s">
        <v>8</v>
      </c>
      <c r="H5" s="13" t="s">
        <v>9</v>
      </c>
      <c r="I5" s="24" t="s">
        <v>10</v>
      </c>
      <c r="J5" s="25" t="s">
        <v>11</v>
      </c>
      <c r="K5" s="26" t="s">
        <v>12</v>
      </c>
      <c r="L5" s="27" t="s">
        <v>13</v>
      </c>
      <c r="M5" s="28" t="s">
        <v>14</v>
      </c>
      <c r="N5" s="28" t="s">
        <v>15</v>
      </c>
      <c r="O5" s="28" t="s">
        <v>16</v>
      </c>
      <c r="P5" s="28" t="s">
        <v>17</v>
      </c>
      <c r="Q5" s="41" t="s">
        <v>18</v>
      </c>
    </row>
    <row r="6" s="1" customFormat="1" spans="1:17">
      <c r="A6" s="14">
        <v>1</v>
      </c>
      <c r="B6" s="14">
        <v>1</v>
      </c>
      <c r="C6" s="15">
        <v>1</v>
      </c>
      <c r="D6" s="15" t="s">
        <v>19</v>
      </c>
      <c r="E6" s="15" t="s">
        <v>20</v>
      </c>
      <c r="F6" s="16" t="s">
        <v>21</v>
      </c>
      <c r="G6" s="15" t="s">
        <v>22</v>
      </c>
      <c r="H6" s="17" t="s">
        <v>23</v>
      </c>
      <c r="I6" s="29">
        <v>2</v>
      </c>
      <c r="J6" s="30">
        <v>98</v>
      </c>
      <c r="K6" s="31"/>
      <c r="L6" s="32"/>
      <c r="M6" s="33">
        <v>2</v>
      </c>
      <c r="N6" s="34"/>
      <c r="O6" s="33"/>
      <c r="P6" s="33"/>
      <c r="Q6" s="42"/>
    </row>
    <row r="7" s="1" customFormat="1" ht="24" spans="1:17">
      <c r="A7" s="14">
        <v>2</v>
      </c>
      <c r="B7" s="14">
        <v>1</v>
      </c>
      <c r="C7" s="15">
        <v>1</v>
      </c>
      <c r="D7" s="17" t="s">
        <v>19</v>
      </c>
      <c r="E7" s="17" t="s">
        <v>24</v>
      </c>
      <c r="F7" s="18" t="s">
        <v>25</v>
      </c>
      <c r="G7" s="17" t="s">
        <v>22</v>
      </c>
      <c r="H7" s="17" t="s">
        <v>23</v>
      </c>
      <c r="I7" s="29">
        <v>1</v>
      </c>
      <c r="J7" s="30">
        <v>96</v>
      </c>
      <c r="K7" s="31"/>
      <c r="L7" s="32"/>
      <c r="M7" s="33">
        <v>1</v>
      </c>
      <c r="N7" s="34">
        <f>IF('[1]PROJECT BACKLOG'!$O28=0,0,VLOOKUP('[1]PROJECT BACKLOG'!$O28,[1]SETUP!$B$35:$C$40,2)+VLOOKUP('[1]PROJECT BACKLOG'!$P28,[1]SETUP!$B$43:$C$48,2)+[1]SETUP!$C$32:$C$32)</f>
        <v>0</v>
      </c>
      <c r="O7" s="33"/>
      <c r="P7" s="33"/>
      <c r="Q7" s="42"/>
    </row>
    <row r="8" s="1" customFormat="1" spans="1:17">
      <c r="A8" s="14">
        <v>3</v>
      </c>
      <c r="B8" s="14">
        <v>1</v>
      </c>
      <c r="C8" s="15">
        <v>1</v>
      </c>
      <c r="D8" s="15" t="s">
        <v>19</v>
      </c>
      <c r="E8" s="15" t="s">
        <v>26</v>
      </c>
      <c r="F8" s="16" t="s">
        <v>27</v>
      </c>
      <c r="G8" s="15" t="s">
        <v>22</v>
      </c>
      <c r="H8" s="15" t="s">
        <v>23</v>
      </c>
      <c r="I8" s="29">
        <v>3</v>
      </c>
      <c r="J8" s="35">
        <v>95</v>
      </c>
      <c r="K8" s="36"/>
      <c r="L8" s="37"/>
      <c r="M8" s="38">
        <v>3</v>
      </c>
      <c r="N8" s="34"/>
      <c r="O8" s="38"/>
      <c r="P8" s="38"/>
      <c r="Q8" s="43"/>
    </row>
    <row r="9" s="1" customFormat="1" ht="24" spans="1:17">
      <c r="A9" s="14">
        <v>4</v>
      </c>
      <c r="B9" s="14">
        <v>1</v>
      </c>
      <c r="C9" s="15">
        <v>1</v>
      </c>
      <c r="D9" s="15" t="s">
        <v>19</v>
      </c>
      <c r="E9" s="15" t="s">
        <v>28</v>
      </c>
      <c r="F9" s="16" t="s">
        <v>29</v>
      </c>
      <c r="G9" s="15" t="s">
        <v>22</v>
      </c>
      <c r="H9" s="15" t="s">
        <v>23</v>
      </c>
      <c r="I9" s="29">
        <v>1</v>
      </c>
      <c r="J9" s="35">
        <v>93</v>
      </c>
      <c r="K9" s="36"/>
      <c r="L9" s="37"/>
      <c r="M9" s="38">
        <v>1</v>
      </c>
      <c r="N9" s="34">
        <f>IF('[1]PROJECT BACKLOG'!$O23=0,0,VLOOKUP('[1]PROJECT BACKLOG'!$O23,[1]SETUP!$B$35:$C$40,2)+VLOOKUP('[1]PROJECT BACKLOG'!$P23,[1]SETUP!$B$43:$C$48,2)+[1]SETUP!$C$32:$C$32)</f>
        <v>0</v>
      </c>
      <c r="O9" s="38"/>
      <c r="P9" s="38"/>
      <c r="Q9" s="43"/>
    </row>
    <row r="10" s="1" customFormat="1" ht="24" spans="1:17">
      <c r="A10" s="14">
        <v>5</v>
      </c>
      <c r="B10" s="14">
        <v>1</v>
      </c>
      <c r="C10" s="15">
        <v>1</v>
      </c>
      <c r="D10" s="15" t="s">
        <v>19</v>
      </c>
      <c r="E10" s="15" t="s">
        <v>30</v>
      </c>
      <c r="F10" s="16" t="s">
        <v>31</v>
      </c>
      <c r="G10" s="15" t="s">
        <v>22</v>
      </c>
      <c r="H10" s="15" t="s">
        <v>23</v>
      </c>
      <c r="I10" s="29">
        <v>1</v>
      </c>
      <c r="J10" s="35">
        <v>93</v>
      </c>
      <c r="K10" s="36"/>
      <c r="L10" s="37"/>
      <c r="M10" s="38">
        <v>2</v>
      </c>
      <c r="N10" s="34">
        <f>IF('[1]PROJECT BACKLOG'!$O29=0,0,VLOOKUP('[1]PROJECT BACKLOG'!$O29,[1]SETUP!$B$35:$C$40,2)+VLOOKUP('[1]PROJECT BACKLOG'!$P29,[1]SETUP!$B$43:$C$48,2)+[1]SETUP!$C$32:$C$32)</f>
        <v>0</v>
      </c>
      <c r="O10" s="38"/>
      <c r="P10" s="38"/>
      <c r="Q10" s="43"/>
    </row>
    <row r="11" s="1" customFormat="1" spans="1:17">
      <c r="A11" s="14">
        <v>6</v>
      </c>
      <c r="B11" s="14">
        <v>1</v>
      </c>
      <c r="C11" s="15">
        <v>1</v>
      </c>
      <c r="D11" s="15" t="s">
        <v>19</v>
      </c>
      <c r="E11" s="15" t="s">
        <v>32</v>
      </c>
      <c r="F11" s="16" t="s">
        <v>33</v>
      </c>
      <c r="G11" s="15" t="s">
        <v>22</v>
      </c>
      <c r="H11" s="15" t="s">
        <v>23</v>
      </c>
      <c r="I11" s="29">
        <v>0.5</v>
      </c>
      <c r="J11" s="35">
        <v>90</v>
      </c>
      <c r="K11" s="36"/>
      <c r="L11" s="37"/>
      <c r="M11" s="38">
        <v>1</v>
      </c>
      <c r="N11" s="34">
        <f>IF('[1]PROJECT BACKLOG'!$O16=0,0,VLOOKUP('[1]PROJECT BACKLOG'!$O16,[1]SETUP!$B$35:$C$40,2)+VLOOKUP('[1]PROJECT BACKLOG'!$P16,[1]SETUP!$B$43:$C$48,2)+[1]SETUP!$C$32:$C$32)</f>
        <v>0</v>
      </c>
      <c r="O11" s="38"/>
      <c r="P11" s="38"/>
      <c r="Q11" s="43"/>
    </row>
    <row r="12" s="1" customFormat="1" ht="24" spans="1:17">
      <c r="A12" s="14">
        <v>7</v>
      </c>
      <c r="B12" s="14">
        <v>1</v>
      </c>
      <c r="C12" s="15">
        <v>1</v>
      </c>
      <c r="D12" s="17" t="s">
        <v>19</v>
      </c>
      <c r="E12" s="15" t="s">
        <v>34</v>
      </c>
      <c r="F12" s="16" t="s">
        <v>35</v>
      </c>
      <c r="G12" s="17" t="s">
        <v>22</v>
      </c>
      <c r="H12" s="17" t="s">
        <v>23</v>
      </c>
      <c r="I12" s="29">
        <v>2</v>
      </c>
      <c r="J12" s="30">
        <v>90</v>
      </c>
      <c r="K12" s="31"/>
      <c r="L12" s="32"/>
      <c r="M12" s="33">
        <v>2</v>
      </c>
      <c r="N12" s="34">
        <f>IF('[1]PROJECT BACKLOG'!$O20=0,0,VLOOKUP('[1]PROJECT BACKLOG'!$O20,[1]SETUP!$B$35:$C$40,2)+VLOOKUP('[1]PROJECT BACKLOG'!$P20,[1]SETUP!$B$43:$C$48,2)+[1]SETUP!$C$32:$C$32)</f>
        <v>0</v>
      </c>
      <c r="O12" s="33"/>
      <c r="P12" s="33"/>
      <c r="Q12" s="42"/>
    </row>
    <row r="13" s="1" customFormat="1" ht="24" spans="1:17">
      <c r="A13" s="14">
        <v>8</v>
      </c>
      <c r="B13" s="14">
        <v>1</v>
      </c>
      <c r="C13" s="15">
        <v>1</v>
      </c>
      <c r="D13" s="17" t="s">
        <v>19</v>
      </c>
      <c r="E13" s="15" t="s">
        <v>36</v>
      </c>
      <c r="F13" s="16" t="s">
        <v>37</v>
      </c>
      <c r="G13" s="17" t="s">
        <v>22</v>
      </c>
      <c r="H13" s="17" t="s">
        <v>23</v>
      </c>
      <c r="I13" s="29">
        <v>3</v>
      </c>
      <c r="J13" s="30">
        <v>88</v>
      </c>
      <c r="K13" s="31"/>
      <c r="L13" s="32"/>
      <c r="M13" s="33">
        <v>3</v>
      </c>
      <c r="N13" s="34">
        <f>IF('[1]PROJECT BACKLOG'!$O33=0,0,VLOOKUP('[1]PROJECT BACKLOG'!$O33,[1]SETUP!$B$35:$C$40,2)+VLOOKUP('[1]PROJECT BACKLOG'!$P33,[1]SETUP!$B$43:$C$48,2)+[1]SETUP!$C$32:$C$32)</f>
        <v>0</v>
      </c>
      <c r="O13" s="33"/>
      <c r="P13" s="33"/>
      <c r="Q13" s="42"/>
    </row>
    <row r="14" s="1" customFormat="1" spans="1:17">
      <c r="A14" s="14">
        <v>9</v>
      </c>
      <c r="B14" s="14">
        <v>1</v>
      </c>
      <c r="C14" s="15">
        <v>1</v>
      </c>
      <c r="D14" s="17" t="s">
        <v>19</v>
      </c>
      <c r="E14" s="15" t="s">
        <v>38</v>
      </c>
      <c r="F14" s="16" t="s">
        <v>39</v>
      </c>
      <c r="G14" s="17" t="s">
        <v>22</v>
      </c>
      <c r="H14" s="17" t="s">
        <v>23</v>
      </c>
      <c r="I14" s="29">
        <v>0.5</v>
      </c>
      <c r="J14" s="30">
        <v>85</v>
      </c>
      <c r="K14" s="31"/>
      <c r="L14" s="32"/>
      <c r="M14" s="33">
        <v>1</v>
      </c>
      <c r="N14" s="34">
        <f>IF('[1]PROJECT BACKLOG'!$O15=0,0,VLOOKUP('[1]PROJECT BACKLOG'!$O15,[1]SETUP!$B$35:$C$40,2)+VLOOKUP('[1]PROJECT BACKLOG'!$P15,[1]SETUP!$B$43:$C$48,2)+[1]SETUP!$C$32:$C$32)</f>
        <v>0</v>
      </c>
      <c r="O14" s="33"/>
      <c r="P14" s="33"/>
      <c r="Q14" s="42"/>
    </row>
    <row r="15" s="1" customFormat="1" spans="1:17">
      <c r="A15" s="14">
        <v>10</v>
      </c>
      <c r="B15" s="14">
        <v>1</v>
      </c>
      <c r="C15" s="15">
        <v>1</v>
      </c>
      <c r="D15" s="15" t="s">
        <v>19</v>
      </c>
      <c r="E15" s="15" t="s">
        <v>40</v>
      </c>
      <c r="F15" s="16" t="s">
        <v>41</v>
      </c>
      <c r="G15" s="15" t="s">
        <v>22</v>
      </c>
      <c r="H15" s="15" t="s">
        <v>23</v>
      </c>
      <c r="I15" s="29">
        <v>2</v>
      </c>
      <c r="J15" s="30">
        <v>80</v>
      </c>
      <c r="K15" s="31"/>
      <c r="L15" s="32"/>
      <c r="M15" s="33">
        <v>2</v>
      </c>
      <c r="N15" s="34"/>
      <c r="O15" s="33"/>
      <c r="P15" s="33"/>
      <c r="Q15" s="42"/>
    </row>
    <row r="16" s="1" customFormat="1" spans="1:17">
      <c r="A16" s="14">
        <v>11</v>
      </c>
      <c r="B16" s="14">
        <v>1</v>
      </c>
      <c r="C16" s="15">
        <v>1</v>
      </c>
      <c r="D16" s="17" t="s">
        <v>19</v>
      </c>
      <c r="E16" s="15" t="s">
        <v>42</v>
      </c>
      <c r="F16" s="16" t="s">
        <v>43</v>
      </c>
      <c r="G16" s="17" t="s">
        <v>22</v>
      </c>
      <c r="H16" s="17" t="s">
        <v>23</v>
      </c>
      <c r="I16" s="29">
        <v>1</v>
      </c>
      <c r="J16" s="30">
        <v>70</v>
      </c>
      <c r="K16" s="31"/>
      <c r="L16" s="32"/>
      <c r="M16" s="33">
        <v>1</v>
      </c>
      <c r="N16" s="34">
        <f>IF('[1]PROJECT BACKLOG'!$O26=0,0,VLOOKUP('[1]PROJECT BACKLOG'!$O26,[1]SETUP!$B$35:$C$40,2)+VLOOKUP('[1]PROJECT BACKLOG'!$P26,[1]SETUP!$B$43:$C$48,2)+[1]SETUP!$C$32:$C$32)</f>
        <v>0</v>
      </c>
      <c r="O16" s="33"/>
      <c r="P16" s="33"/>
      <c r="Q16" s="42"/>
    </row>
    <row r="17" s="1" customFormat="1" spans="1:17">
      <c r="A17" s="14">
        <v>12</v>
      </c>
      <c r="B17" s="14">
        <v>1</v>
      </c>
      <c r="C17" s="15">
        <v>1</v>
      </c>
      <c r="D17" s="17" t="s">
        <v>19</v>
      </c>
      <c r="E17" s="15" t="s">
        <v>44</v>
      </c>
      <c r="F17" s="16" t="s">
        <v>45</v>
      </c>
      <c r="G17" s="17" t="s">
        <v>22</v>
      </c>
      <c r="H17" s="17" t="s">
        <v>23</v>
      </c>
      <c r="I17" s="29">
        <v>1</v>
      </c>
      <c r="J17" s="30">
        <v>65</v>
      </c>
      <c r="K17" s="31"/>
      <c r="L17" s="32"/>
      <c r="M17" s="33">
        <v>1</v>
      </c>
      <c r="N17" s="34">
        <f>IF('[1]PROJECT BACKLOG'!$O35=0,0,VLOOKUP('[1]PROJECT BACKLOG'!$O35,[1]SETUP!$B$35:$C$40,2)+VLOOKUP('[1]PROJECT BACKLOG'!$P35,[1]SETUP!$B$43:$C$48,2)+[1]SETUP!$C$32:$C$32)</f>
        <v>0</v>
      </c>
      <c r="O17" s="33"/>
      <c r="P17" s="33"/>
      <c r="Q17" s="42"/>
    </row>
    <row r="18" s="1" customFormat="1" spans="1:17">
      <c r="A18" s="14">
        <v>13</v>
      </c>
      <c r="B18" s="14">
        <v>1</v>
      </c>
      <c r="C18" s="15">
        <v>1</v>
      </c>
      <c r="D18" s="15" t="s">
        <v>19</v>
      </c>
      <c r="E18" s="15" t="s">
        <v>46</v>
      </c>
      <c r="F18" s="16" t="s">
        <v>47</v>
      </c>
      <c r="G18" s="15" t="s">
        <v>22</v>
      </c>
      <c r="H18" s="15" t="s">
        <v>23</v>
      </c>
      <c r="I18" s="29">
        <v>1</v>
      </c>
      <c r="J18" s="35">
        <v>60</v>
      </c>
      <c r="K18" s="36"/>
      <c r="L18" s="37"/>
      <c r="M18" s="38">
        <v>1</v>
      </c>
      <c r="N18" s="34">
        <f>IF('[1]PROJECT BACKLOG'!$O31=0,0,VLOOKUP('[1]PROJECT BACKLOG'!$O31,[1]SETUP!$B$35:$C$40,2)+VLOOKUP('[1]PROJECT BACKLOG'!$P31,[1]SETUP!$B$43:$C$48,2)+[1]SETUP!$C$32:$C$32)</f>
        <v>0</v>
      </c>
      <c r="O18" s="38"/>
      <c r="P18" s="38"/>
      <c r="Q18" s="43"/>
    </row>
    <row r="19" s="1" customFormat="1" spans="1:17">
      <c r="A19" s="14">
        <v>1</v>
      </c>
      <c r="B19" s="15">
        <v>2</v>
      </c>
      <c r="C19" s="15">
        <v>2</v>
      </c>
      <c r="D19" s="15" t="s">
        <v>19</v>
      </c>
      <c r="E19" s="15" t="s">
        <v>48</v>
      </c>
      <c r="F19" s="16" t="s">
        <v>49</v>
      </c>
      <c r="G19" s="15" t="s">
        <v>22</v>
      </c>
      <c r="H19" s="15" t="s">
        <v>23</v>
      </c>
      <c r="I19" s="29">
        <v>3</v>
      </c>
      <c r="J19" s="35">
        <v>55</v>
      </c>
      <c r="K19" s="36"/>
      <c r="L19" s="37"/>
      <c r="M19" s="38">
        <v>3</v>
      </c>
      <c r="N19" s="34">
        <f>IF('[1]PROJECT BACKLOG'!$O34=0,0,VLOOKUP('[1]PROJECT BACKLOG'!$O34,[1]SETUP!$B$35:$C$40,2)+VLOOKUP('[1]PROJECT BACKLOG'!$P34,[1]SETUP!$B$43:$C$48,2)+[1]SETUP!$C$32:$C$32)</f>
        <v>0</v>
      </c>
      <c r="O19" s="38"/>
      <c r="P19" s="38"/>
      <c r="Q19" s="43"/>
    </row>
    <row r="20" s="1" customFormat="1" spans="1:17">
      <c r="A20" s="14">
        <v>2</v>
      </c>
      <c r="B20" s="15">
        <v>2</v>
      </c>
      <c r="C20" s="15">
        <v>2</v>
      </c>
      <c r="D20" s="15" t="s">
        <v>19</v>
      </c>
      <c r="E20" s="15" t="s">
        <v>50</v>
      </c>
      <c r="F20" s="16" t="s">
        <v>51</v>
      </c>
      <c r="G20" s="15" t="s">
        <v>22</v>
      </c>
      <c r="H20" s="15" t="s">
        <v>23</v>
      </c>
      <c r="I20" s="29">
        <v>1</v>
      </c>
      <c r="J20" s="35">
        <v>50</v>
      </c>
      <c r="K20" s="36"/>
      <c r="L20" s="37"/>
      <c r="M20" s="38">
        <v>1</v>
      </c>
      <c r="N20" s="34">
        <f>IF('[1]PROJECT BACKLOG'!$O25=0,0,VLOOKUP('[1]PROJECT BACKLOG'!$O25,[1]SETUP!$B$35:$C$40,2)+VLOOKUP('[1]PROJECT BACKLOG'!$P25,[1]SETUP!$B$43:$C$48,2)+[1]SETUP!$C$32:$C$32)</f>
        <v>0</v>
      </c>
      <c r="O20" s="38"/>
      <c r="P20" s="38"/>
      <c r="Q20" s="43"/>
    </row>
    <row r="21" s="1" customFormat="1" spans="1:17">
      <c r="A21" s="14">
        <v>3</v>
      </c>
      <c r="B21" s="15">
        <v>2</v>
      </c>
      <c r="C21" s="15">
        <v>2</v>
      </c>
      <c r="D21" s="17" t="s">
        <v>19</v>
      </c>
      <c r="E21" s="17" t="s">
        <v>52</v>
      </c>
      <c r="F21" s="18" t="s">
        <v>53</v>
      </c>
      <c r="G21" s="17" t="s">
        <v>22</v>
      </c>
      <c r="H21" s="17" t="s">
        <v>23</v>
      </c>
      <c r="I21" s="29">
        <v>1</v>
      </c>
      <c r="J21" s="30">
        <v>45</v>
      </c>
      <c r="K21" s="31"/>
      <c r="L21" s="32"/>
      <c r="M21" s="33">
        <v>1</v>
      </c>
      <c r="N21" s="34">
        <f>IF('[1]PROJECT BACKLOG'!$O22=0,0,VLOOKUP('[1]PROJECT BACKLOG'!$O22,[1]SETUP!$B$35:$C$40,2)+VLOOKUP('[1]PROJECT BACKLOG'!$P22,[1]SETUP!$B$43:$C$48,2)+[1]SETUP!$C$32:$C$32)</f>
        <v>0</v>
      </c>
      <c r="O21" s="33"/>
      <c r="P21" s="33"/>
      <c r="Q21" s="42"/>
    </row>
    <row r="22" s="1" customFormat="1" ht="24" spans="1:17">
      <c r="A22" s="14">
        <v>4</v>
      </c>
      <c r="B22" s="15">
        <v>2</v>
      </c>
      <c r="C22" s="15">
        <v>2</v>
      </c>
      <c r="D22" s="17" t="s">
        <v>19</v>
      </c>
      <c r="E22" s="17" t="s">
        <v>54</v>
      </c>
      <c r="F22" s="18" t="s">
        <v>55</v>
      </c>
      <c r="G22" s="17" t="s">
        <v>22</v>
      </c>
      <c r="H22" s="17" t="s">
        <v>23</v>
      </c>
      <c r="I22" s="29">
        <v>3</v>
      </c>
      <c r="J22" s="30">
        <v>43</v>
      </c>
      <c r="K22" s="31"/>
      <c r="L22" s="32"/>
      <c r="M22" s="33">
        <v>3</v>
      </c>
      <c r="N22" s="34"/>
      <c r="O22" s="33"/>
      <c r="P22" s="33"/>
      <c r="Q22" s="42"/>
    </row>
    <row r="23" s="1" customFormat="1" spans="1:17">
      <c r="A23" s="14">
        <v>5</v>
      </c>
      <c r="B23" s="15">
        <v>2</v>
      </c>
      <c r="C23" s="15">
        <v>2</v>
      </c>
      <c r="D23" s="17" t="s">
        <v>19</v>
      </c>
      <c r="E23" s="17" t="s">
        <v>56</v>
      </c>
      <c r="F23" s="18" t="s">
        <v>57</v>
      </c>
      <c r="G23" s="17" t="s">
        <v>22</v>
      </c>
      <c r="H23" s="17" t="s">
        <v>23</v>
      </c>
      <c r="I23" s="29">
        <v>1</v>
      </c>
      <c r="J23" s="30">
        <v>40</v>
      </c>
      <c r="K23" s="31"/>
      <c r="L23" s="32"/>
      <c r="M23" s="33">
        <v>1</v>
      </c>
      <c r="N23" s="34">
        <f>IF('[1]PROJECT BACKLOG'!$O17=0,0,VLOOKUP('[1]PROJECT BACKLOG'!$O17,[1]SETUP!$B$35:$C$40,2)+VLOOKUP('[1]PROJECT BACKLOG'!$P17,[1]SETUP!$B$43:$C$48,2)+[1]SETUP!$C$32:$C$32)</f>
        <v>0</v>
      </c>
      <c r="O23" s="33"/>
      <c r="P23" s="33"/>
      <c r="Q23" s="42"/>
    </row>
    <row r="24" s="1" customFormat="1" ht="24" spans="1:17">
      <c r="A24" s="14">
        <v>6</v>
      </c>
      <c r="B24" s="15">
        <v>2</v>
      </c>
      <c r="C24" s="15">
        <v>2</v>
      </c>
      <c r="D24" s="15" t="s">
        <v>19</v>
      </c>
      <c r="E24" s="15" t="s">
        <v>58</v>
      </c>
      <c r="F24" s="16" t="s">
        <v>59</v>
      </c>
      <c r="G24" s="15" t="s">
        <v>22</v>
      </c>
      <c r="H24" s="17" t="s">
        <v>23</v>
      </c>
      <c r="I24" s="29">
        <v>1</v>
      </c>
      <c r="J24" s="30">
        <v>33</v>
      </c>
      <c r="K24" s="31"/>
      <c r="L24" s="32"/>
      <c r="M24" s="33">
        <v>1</v>
      </c>
      <c r="N24" s="34"/>
      <c r="O24" s="33"/>
      <c r="P24" s="33"/>
      <c r="Q24" s="42"/>
    </row>
    <row r="25" s="1" customFormat="1" ht="24.75" spans="1:17">
      <c r="A25" s="14">
        <v>7</v>
      </c>
      <c r="B25" s="15">
        <v>2</v>
      </c>
      <c r="C25" s="15">
        <v>2</v>
      </c>
      <c r="D25" s="15" t="s">
        <v>19</v>
      </c>
      <c r="E25" s="15" t="s">
        <v>60</v>
      </c>
      <c r="F25" s="16" t="s">
        <v>61</v>
      </c>
      <c r="G25" s="15" t="s">
        <v>22</v>
      </c>
      <c r="H25" s="15" t="s">
        <v>23</v>
      </c>
      <c r="I25" s="29">
        <v>2</v>
      </c>
      <c r="J25" s="35">
        <v>30</v>
      </c>
      <c r="K25" s="36"/>
      <c r="L25" s="37"/>
      <c r="M25" s="38">
        <v>2</v>
      </c>
      <c r="N25" s="34">
        <f>IF('[1]PROJECT BACKLOG'!$O18=0,0,VLOOKUP('[1]PROJECT BACKLOG'!$O18,[1]SETUP!$B$35:$C$40,2)+VLOOKUP('[1]PROJECT BACKLOG'!$P18,[1]SETUP!$B$43:$C$48,2)+[1]SETUP!$C$32:$C$32)</f>
        <v>0</v>
      </c>
      <c r="O25" s="38"/>
      <c r="P25" s="38"/>
      <c r="Q25" s="44"/>
    </row>
    <row r="26" s="1" customFormat="1" ht="13.95" spans="1:17">
      <c r="A26" s="19" t="s">
        <v>62</v>
      </c>
      <c r="B26" s="20"/>
      <c r="C26" s="21">
        <f>SUBTOTAL(103,C6:C25)</f>
        <v>20</v>
      </c>
      <c r="D26" s="21"/>
      <c r="E26" s="21"/>
      <c r="F26" s="22"/>
      <c r="G26" s="21"/>
      <c r="H26" s="21"/>
      <c r="I26" s="39">
        <f>SUMIF(H6:H25,"&lt;&gt;Withdrawn",I6:I25)</f>
        <v>31</v>
      </c>
      <c r="J26" s="20"/>
      <c r="K26" s="20"/>
      <c r="L26" s="20"/>
      <c r="M26" s="20"/>
      <c r="N26" s="20"/>
      <c r="O26" s="20"/>
      <c r="P26" s="20"/>
      <c r="Q26" s="45"/>
    </row>
    <row r="27" s="1" customFormat="1" spans="6:6">
      <c r="F27" s="3"/>
    </row>
    <row r="28" s="1" customFormat="1" spans="6:6">
      <c r="F28" s="3"/>
    </row>
    <row r="29" s="1" customFormat="1" spans="6:6">
      <c r="F29" s="3"/>
    </row>
    <row r="30" s="1" customFormat="1" spans="6:6">
      <c r="F30" s="3"/>
    </row>
    <row r="31" s="1" customFormat="1" spans="6:6">
      <c r="F31" s="3"/>
    </row>
    <row r="32" s="1" customFormat="1" spans="6:6">
      <c r="F32" s="3"/>
    </row>
    <row r="33" s="1" customFormat="1" spans="6:6">
      <c r="F33" s="3"/>
    </row>
    <row r="34" s="1" customFormat="1" spans="6:6">
      <c r="F34" s="3"/>
    </row>
    <row r="35" s="1" customFormat="1" spans="6:6">
      <c r="F35" s="3"/>
    </row>
    <row r="36" s="1" customFormat="1" spans="6:6">
      <c r="F36" s="3"/>
    </row>
    <row r="37" s="1" customFormat="1" spans="6:6">
      <c r="F37" s="3"/>
    </row>
    <row r="38" s="1" customFormat="1" spans="6:6">
      <c r="F38" s="3"/>
    </row>
    <row r="39" s="1" customFormat="1" spans="6:6">
      <c r="F39" s="3"/>
    </row>
    <row r="40" s="1" customFormat="1" spans="6:6">
      <c r="F40" s="3"/>
    </row>
    <row r="41" s="1" customFormat="1" spans="6:6">
      <c r="F41" s="3"/>
    </row>
    <row r="42" s="1" customFormat="1" spans="6:6">
      <c r="F42" s="3"/>
    </row>
    <row r="43" s="1" customFormat="1" spans="6:6">
      <c r="F43" s="3"/>
    </row>
    <row r="44" s="1" customFormat="1" spans="6:6">
      <c r="F44" s="3"/>
    </row>
    <row r="45" s="1" customFormat="1" spans="6:6">
      <c r="F45" s="3"/>
    </row>
    <row r="46" s="1" customFormat="1" spans="6:6">
      <c r="F46" s="3"/>
    </row>
    <row r="47" s="1" customFormat="1" spans="6:6">
      <c r="F47" s="3"/>
    </row>
    <row r="48" s="1" customFormat="1" spans="6:6">
      <c r="F48" s="3"/>
    </row>
    <row r="49" s="1" customFormat="1" spans="6:6">
      <c r="F49" s="3"/>
    </row>
    <row r="50" s="1" customFormat="1" spans="6:6">
      <c r="F50" s="3"/>
    </row>
    <row r="51" s="1" customFormat="1" spans="6:6">
      <c r="F51" s="3"/>
    </row>
    <row r="52" s="1" customFormat="1" spans="6:6">
      <c r="F52" s="3"/>
    </row>
    <row r="53" s="1" customFormat="1" spans="6:6">
      <c r="F53" s="3"/>
    </row>
    <row r="54" s="1" customFormat="1" spans="6:6">
      <c r="F54" s="3"/>
    </row>
    <row r="55" s="1" customFormat="1" spans="6:6">
      <c r="F55" s="3"/>
    </row>
    <row r="56" s="1" customFormat="1" spans="6:6">
      <c r="F56" s="3"/>
    </row>
    <row r="57" s="1" customFormat="1" spans="6:6">
      <c r="F57" s="3"/>
    </row>
    <row r="58" s="1" customFormat="1" spans="6:6">
      <c r="F58" s="3"/>
    </row>
    <row r="59" s="1" customFormat="1" spans="6:6">
      <c r="F59" s="3"/>
    </row>
    <row r="60" s="1" customFormat="1" spans="6:13">
      <c r="F60" s="23"/>
      <c r="G60" s="1"/>
      <c r="H60" s="1"/>
      <c r="I60" s="1"/>
      <c r="J60" s="1"/>
      <c r="K60" s="1"/>
      <c r="L60" s="1"/>
      <c r="M60" s="40"/>
    </row>
    <row r="61" s="1" customFormat="1" spans="6:13">
      <c r="F61" s="23"/>
      <c r="G61" s="1"/>
      <c r="H61" s="1"/>
      <c r="I61" s="1"/>
      <c r="J61" s="1"/>
      <c r="K61" s="1"/>
      <c r="L61" s="1"/>
      <c r="M61" s="40"/>
    </row>
  </sheetData>
  <mergeCells count="1">
    <mergeCell ref="B2:L2"/>
  </mergeCells>
  <conditionalFormatting sqref="E6">
    <cfRule type="expression" dxfId="0" priority="16">
      <formula>Sheet1!$H6="WITHDRAWN"</formula>
    </cfRule>
  </conditionalFormatting>
  <conditionalFormatting sqref="D7">
    <cfRule type="expression" dxfId="0" priority="12">
      <formula>Sheet1!$H7="WITHDRAWN"</formula>
    </cfRule>
  </conditionalFormatting>
  <conditionalFormatting sqref="E7">
    <cfRule type="expression" dxfId="0" priority="13">
      <formula>Sheet1!$H7="WITHDRAWN"</formula>
    </cfRule>
  </conditionalFormatting>
  <conditionalFormatting sqref="F7">
    <cfRule type="expression" dxfId="0" priority="14">
      <formula>Sheet1!$H7="WITHDRAWN"</formula>
    </cfRule>
  </conditionalFormatting>
  <conditionalFormatting sqref="E10">
    <cfRule type="expression" dxfId="0" priority="15">
      <formula>Sheet1!$H10="WITHDRAWN"</formula>
    </cfRule>
  </conditionalFormatting>
  <conditionalFormatting sqref="A11">
    <cfRule type="expression" dxfId="0" priority="23">
      <formula>Sheet1!$H18="WITHDRAWN"</formula>
    </cfRule>
  </conditionalFormatting>
  <conditionalFormatting sqref="B11">
    <cfRule type="expression" dxfId="0" priority="2">
      <formula>Sheet1!$H18="WITHDRAWN"</formula>
    </cfRule>
  </conditionalFormatting>
  <conditionalFormatting sqref="F12">
    <cfRule type="expression" dxfId="0" priority="22">
      <formula>#REF!="WITHDRAWN"</formula>
    </cfRule>
  </conditionalFormatting>
  <conditionalFormatting sqref="F14">
    <cfRule type="expression" dxfId="0" priority="21">
      <formula>Sheet1!#REF!="WITHDRAWN"</formula>
    </cfRule>
  </conditionalFormatting>
  <conditionalFormatting sqref="A24">
    <cfRule type="expression" dxfId="0" priority="1">
      <formula>Sheet1!#REF!="WITHDRAWN"</formula>
    </cfRule>
  </conditionalFormatting>
  <conditionalFormatting sqref="E25">
    <cfRule type="expression" dxfId="0" priority="8">
      <formula>$H25="WITHDRAWN"</formula>
    </cfRule>
    <cfRule type="expression" dxfId="0" priority="9">
      <formula>$H25="WITHDRAWN"</formula>
    </cfRule>
  </conditionalFormatting>
  <conditionalFormatting sqref="F25">
    <cfRule type="expression" dxfId="0" priority="10">
      <formula>$H25="WITHDRAWN"</formula>
    </cfRule>
    <cfRule type="expression" dxfId="0" priority="11">
      <formula>$H25="WITHDRAWN"</formula>
    </cfRule>
  </conditionalFormatting>
  <conditionalFormatting sqref="E8:E9">
    <cfRule type="expression" dxfId="0" priority="17">
      <formula>Sheet1!$H8="WITHDRAWN"</formula>
    </cfRule>
  </conditionalFormatting>
  <conditionalFormatting sqref="L6:L25">
    <cfRule type="dataBar" priority="24">
      <dataBar>
        <cfvo type="percent" val="0"/>
        <cfvo type="percent" val="100"/>
        <color rgb="FFFF0000"/>
      </dataBar>
      <extLst>
        <ext xmlns:x14="http://schemas.microsoft.com/office/spreadsheetml/2009/9/main" uri="{B025F937-C7B1-47D3-B67F-A62EFF666E3E}">
          <x14:id>{cafe3db5-d5b2-4b04-9503-a980219e6d2f}</x14:id>
        </ext>
      </extLst>
    </cfRule>
  </conditionalFormatting>
  <conditionalFormatting sqref="O6:O25">
    <cfRule type="dataBar" priority="19">
      <dataBar>
        <cfvo type="num" val="1"/>
        <cfvo type="num" val="5"/>
        <color theme="9"/>
      </dataBar>
      <extLst>
        <ext xmlns:x14="http://schemas.microsoft.com/office/spreadsheetml/2009/9/main" uri="{B025F937-C7B1-47D3-B67F-A62EFF666E3E}">
          <x14:id>{4dfbc4ac-bd87-4d52-8b01-321c63bdab5b}</x14:id>
        </ext>
      </extLst>
    </cfRule>
  </conditionalFormatting>
  <conditionalFormatting sqref="P6:P25">
    <cfRule type="dataBar" priority="18">
      <dataBar>
        <cfvo type="num" val="1"/>
        <cfvo type="num" val="5"/>
        <color rgb="FF638EC6"/>
      </dataBar>
      <extLst>
        <ext xmlns:x14="http://schemas.microsoft.com/office/spreadsheetml/2009/9/main" uri="{B025F937-C7B1-47D3-B67F-A62EFF666E3E}">
          <x14:id>{a149f41e-e494-4521-96ac-55653f017e89}</x14:id>
        </ext>
      </extLst>
    </cfRule>
  </conditionalFormatting>
  <conditionalFormatting sqref="G6:Q13 F8 F10 F12 F16 F14:Q14 F6 A6:C8 G15:Q17 F18:P18 A9:D18">
    <cfRule type="expression" dxfId="0" priority="20">
      <formula>Sheet1!$H6="WITHDRAWN"</formula>
    </cfRule>
  </conditionalFormatting>
  <conditionalFormatting sqref="F20 F22 F24 G19:Q25 A19:D25">
    <cfRule type="expression" dxfId="0" priority="49">
      <formula>$H19="WITHDRAWN"</formula>
    </cfRule>
  </conditionalFormatting>
  <dataValidations count="2">
    <dataValidation type="list" allowBlank="1" showInputMessage="1" showErrorMessage="1" sqref="G6:G18 G19:G25">
      <formula1>PBType</formula1>
    </dataValidation>
    <dataValidation type="list" allowBlank="1" showInputMessage="1" showErrorMessage="1" sqref="H6:H18 H19:H25">
      <formula1>PBStatus</formula1>
    </dataValidation>
  </dataValidations>
  <pageMargins left="0.75" right="0.75" top="1" bottom="1" header="0.511805555555556" footer="0.511805555555556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9" name="Button 35" r:id="rId4">
              <controlPr print="0" defaultSize="0">
                <anchor moveWithCells="1">
                  <from>
                    <xdr:col>1</xdr:col>
                    <xdr:colOff>45720</xdr:colOff>
                    <xdr:row>0</xdr:row>
                    <xdr:rowOff>76200</xdr:rowOff>
                  </from>
                  <to>
                    <xdr:col>3</xdr:col>
                    <xdr:colOff>742315</xdr:colOff>
                    <xdr:row>1</xdr:row>
                    <xdr:rowOff>138430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fe3db5-d5b2-4b04-9503-a980219e6d2f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m:sqref>L6:L25</xm:sqref>
        </x14:conditionalFormatting>
        <x14:conditionalFormatting xmlns:xm="http://schemas.microsoft.com/office/excel/2006/main">
          <x14:cfRule type="dataBar" id="{4dfbc4ac-bd87-4d52-8b01-321c63bdab5b}">
            <x14:dataBar minLength="10" maxLength="90" negativeBarColorSameAsPositive="1" axisPosition="none">
              <x14:cfvo type="num">
                <xm:f>1</xm:f>
              </x14:cfvo>
              <x14:cfvo type="num">
                <xm:f>5</xm:f>
              </x14:cfvo>
              <x14:axisColor indexed="65"/>
            </x14:dataBar>
          </x14:cfRule>
          <xm:sqref>O6:O25</xm:sqref>
        </x14:conditionalFormatting>
        <x14:conditionalFormatting xmlns:xm="http://schemas.microsoft.com/office/excel/2006/main">
          <x14:cfRule type="dataBar" id="{a149f41e-e494-4521-96ac-55653f017e89}">
            <x14:dataBar minLength="10" maxLength="90" negativeBarColorSameAsPositive="1" axisPosition="none">
              <x14:cfvo type="num">
                <xm:f>1</xm:f>
              </x14:cfvo>
              <x14:cfvo type="num">
                <xm:f>5</xm:f>
              </x14:cfvo>
              <x14:axisColor indexed="65"/>
            </x14:dataBar>
          </x14:cfRule>
          <xm:sqref>P6:P25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Insomnia</cp:lastModifiedBy>
  <dcterms:created xsi:type="dcterms:W3CDTF">2019-01-03T14:02:39Z</dcterms:created>
  <dcterms:modified xsi:type="dcterms:W3CDTF">2019-01-03T14:38:20Z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2052-11.1.0.8205</vt:lpwstr>
  </property>
</Properties>
</file>